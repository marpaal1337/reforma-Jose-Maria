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Documentos\A Reformas\Jose María Mortes Lerma\Presupuesto\Industriales\"/>
    </mc:Choice>
  </mc:AlternateContent>
  <xr:revisionPtr revIDLastSave="0" documentId="13_ncr:1_{C4466615-0CF3-49B6-82DD-7F770391AFC6}" xr6:coauthVersionLast="47" xr6:coauthVersionMax="47" xr10:uidLastSave="{00000000-0000-0000-0000-000000000000}"/>
  <bookViews>
    <workbookView xWindow="-104" yWindow="-104" windowWidth="29699" windowHeight="16094" xr2:uid="{A7D80E22-567C-4115-97AB-57A8C4E5C9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3" i="1"/>
  <c r="D3" i="1" s="1"/>
  <c r="C10" i="1"/>
  <c r="C9" i="1"/>
  <c r="B10" i="1"/>
  <c r="B9" i="1"/>
  <c r="B3" i="1"/>
  <c r="D10" i="1" l="1"/>
</calcChain>
</file>

<file path=xl/sharedStrings.xml><?xml version="1.0" encoding="utf-8"?>
<sst xmlns="http://schemas.openxmlformats.org/spreadsheetml/2006/main" count="14" uniqueCount="14">
  <si>
    <t>ALBAÑILERÍA</t>
  </si>
  <si>
    <t>FONTANERÍA</t>
  </si>
  <si>
    <t>ELECTRICIDAD</t>
  </si>
  <si>
    <t>CLIMA</t>
  </si>
  <si>
    <t>PLADUR</t>
  </si>
  <si>
    <t>CARPINTERÍA EXT</t>
  </si>
  <si>
    <t>CARPINTERÍA INT</t>
  </si>
  <si>
    <t>Techos a 30</t>
  </si>
  <si>
    <t>Oscuros a 54</t>
  </si>
  <si>
    <t>Tabicas a 30</t>
  </si>
  <si>
    <t>Registro a 60</t>
  </si>
  <si>
    <t>Refuerzo a 25</t>
  </si>
  <si>
    <t>sin luz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</si>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</sst>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BAB0-C19B-4D00-98AC-5A44B15D7D31}">
  <dimension ref="A3:H10"/>
  <sheetViews>
    <sheetView tabSelected="1" workbookViewId="0">
      <selection activeCell="D12" sqref="D12"/>
    </sheetView>
  </sheetViews>
  <sheetFormatPr baseColWidth="10" defaultRowHeight="14.4" x14ac:dyDescent="0.3"/>
  <cols>
    <col min="1" max="1" width="15.8984375" customWidth="1"/>
  </cols>
  <sheetData>
    <row r="3" spans="1:8" x14ac:dyDescent="0.3">
      <c r="A3" t="s">
        <v>0</v>
      </c>
      <c r="B3" s="1">
        <f>150+900+2100+3700+550+1000+250+350+180+420+200+550+3150+350+800+1400+85+150+200+220+75+85+350+2400+600+1840</f>
        <v>22055</v>
      </c>
      <c r="C3">
        <f>650+1000+2350+180+200+220+180+600+150+210+250+50+80+280+650+1000+250+350+750+420+200+3780+350+1680+120+200+150+200+220+75+150+350+2400+600+1840</f>
        <v>22135</v>
      </c>
      <c r="D3">
        <f>C3-B3</f>
        <v>80</v>
      </c>
      <c r="E3">
        <v>6700</v>
      </c>
      <c r="G3" t="s">
        <v>7</v>
      </c>
    </row>
    <row r="4" spans="1:8" x14ac:dyDescent="0.3">
      <c r="A4" t="s">
        <v>4</v>
      </c>
      <c r="B4">
        <v>3900</v>
      </c>
      <c r="C4">
        <v>9583</v>
      </c>
      <c r="G4" t="s">
        <v>8</v>
      </c>
    </row>
    <row r="5" spans="1:8" x14ac:dyDescent="0.3">
      <c r="A5" t="s">
        <v>1</v>
      </c>
      <c r="B5">
        <v>3360</v>
      </c>
      <c r="C5">
        <v>3965</v>
      </c>
      <c r="G5" t="s">
        <v>9</v>
      </c>
    </row>
    <row r="6" spans="1:8" x14ac:dyDescent="0.3">
      <c r="A6" t="s">
        <v>2</v>
      </c>
      <c r="B6">
        <f>5291-756</f>
        <v>4535</v>
      </c>
      <c r="C6">
        <v>5005</v>
      </c>
      <c r="D6" t="s">
        <v>12</v>
      </c>
      <c r="G6" t="s">
        <v>10</v>
      </c>
    </row>
    <row r="7" spans="1:8" x14ac:dyDescent="0.3">
      <c r="A7" t="s">
        <v>3</v>
      </c>
      <c r="B7">
        <v>6177</v>
      </c>
      <c r="C7">
        <v>7962</v>
      </c>
      <c r="G7" t="s">
        <v>11</v>
      </c>
    </row>
    <row r="8" spans="1:8" x14ac:dyDescent="0.3">
      <c r="A8" t="s">
        <v>5</v>
      </c>
      <c r="B8">
        <v>8386</v>
      </c>
      <c r="C8">
        <v>8386</v>
      </c>
    </row>
    <row r="9" spans="1:8" x14ac:dyDescent="0.3">
      <c r="A9" t="s">
        <v>6</v>
      </c>
      <c r="B9">
        <f>12691+5472+4270</f>
        <v>22433</v>
      </c>
      <c r="C9">
        <f>12691+5472+4270</f>
        <v>22433</v>
      </c>
    </row>
    <row r="10" spans="1:8" x14ac:dyDescent="0.3">
      <c r="B10">
        <f>SUM(B3:B9)</f>
        <v>70846</v>
      </c>
      <c r="C10">
        <f>SUM(C3:C9)</f>
        <v>79469</v>
      </c>
      <c r="D10">
        <f>C10-B10</f>
        <v>8623</v>
      </c>
      <c r="H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Sofía</dc:creator>
  <cp:lastModifiedBy>Sofía Sofía</cp:lastModifiedBy>
  <dcterms:created xsi:type="dcterms:W3CDTF">2025-11-18T19:36:32Z</dcterms:created>
  <dcterms:modified xsi:type="dcterms:W3CDTF">2026-03-24T18:25:47Z</dcterms:modified>
</cp:coreProperties>
</file>